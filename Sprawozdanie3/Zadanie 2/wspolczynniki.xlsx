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ksy\Chemia_obliczeniowa\Sprawozdanie 3\"/>
    </mc:Choice>
  </mc:AlternateContent>
  <xr:revisionPtr revIDLastSave="0" documentId="13_ncr:1_{19CE511A-B480-4384-9FF8-5950B7C8F656}" xr6:coauthVersionLast="47" xr6:coauthVersionMax="47" xr10:uidLastSave="{00000000-0000-0000-0000-000000000000}"/>
  <bookViews>
    <workbookView xWindow="-108" yWindow="-108" windowWidth="23256" windowHeight="12456" activeTab="2" xr2:uid="{89F9C57F-7E06-44BE-8A9E-1AD4DCFEFD90}"/>
  </bookViews>
  <sheets>
    <sheet name="współczynniki_metan" sheetId="1" r:id="rId1"/>
    <sheet name="współczynniki_eten" sheetId="2" r:id="rId2"/>
    <sheet name="porównani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3" l="1"/>
  <c r="P8" i="3"/>
  <c r="P7" i="3"/>
  <c r="P6" i="3"/>
  <c r="P5" i="3"/>
  <c r="P4" i="3"/>
  <c r="O5" i="3"/>
  <c r="O4" i="3"/>
  <c r="O3" i="3"/>
  <c r="O2" i="3"/>
  <c r="I6" i="3"/>
  <c r="I5" i="3"/>
  <c r="I4" i="3"/>
  <c r="H3" i="3"/>
  <c r="H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E53" i="2"/>
  <c r="E52" i="2"/>
  <c r="E43" i="2"/>
  <c r="E35" i="2"/>
  <c r="E27" i="2"/>
  <c r="E17" i="2"/>
  <c r="E51" i="2"/>
  <c r="E50" i="2"/>
  <c r="E42" i="2"/>
  <c r="E34" i="2"/>
  <c r="E26" i="2"/>
  <c r="E16" i="2"/>
  <c r="E49" i="2"/>
  <c r="E48" i="2"/>
  <c r="E41" i="2"/>
  <c r="E33" i="2"/>
  <c r="E25" i="2"/>
  <c r="E15" i="2"/>
  <c r="E47" i="2"/>
  <c r="E46" i="2"/>
  <c r="E40" i="2"/>
  <c r="E32" i="2"/>
  <c r="E24" i="2"/>
  <c r="E14" i="2"/>
  <c r="E31" i="2"/>
  <c r="E39" i="2"/>
  <c r="E57" i="2"/>
  <c r="E45" i="2"/>
  <c r="E30" i="2"/>
  <c r="E38" i="2"/>
  <c r="E23" i="2"/>
  <c r="E13" i="2"/>
  <c r="E56" i="2"/>
  <c r="E29" i="2"/>
  <c r="E37" i="2"/>
  <c r="E55" i="2"/>
  <c r="E44" i="2"/>
  <c r="E28" i="2"/>
  <c r="E36" i="2"/>
  <c r="E22" i="2"/>
  <c r="E12" i="2"/>
  <c r="E54" i="2"/>
  <c r="E11" i="2"/>
  <c r="E21" i="2"/>
  <c r="E10" i="2"/>
  <c r="E20" i="2"/>
  <c r="E9" i="2"/>
  <c r="E5" i="2"/>
  <c r="E3" i="2"/>
  <c r="E8" i="2"/>
  <c r="E19" i="2"/>
  <c r="E7" i="2"/>
  <c r="E18" i="2"/>
  <c r="E6" i="2"/>
  <c r="E4" i="2"/>
  <c r="E2" i="2"/>
  <c r="E5" i="1"/>
  <c r="E3" i="1"/>
  <c r="E6" i="1"/>
  <c r="E4" i="1"/>
  <c r="E7" i="1"/>
  <c r="E12" i="1"/>
  <c r="E22" i="1"/>
  <c r="E32" i="1"/>
  <c r="E13" i="1"/>
  <c r="E23" i="1"/>
  <c r="E33" i="1"/>
  <c r="E14" i="1"/>
  <c r="E24" i="1"/>
  <c r="E34" i="1"/>
  <c r="E15" i="1"/>
  <c r="E25" i="1"/>
  <c r="E26" i="1"/>
  <c r="E35" i="1"/>
  <c r="E16" i="1"/>
  <c r="E36" i="1"/>
  <c r="E8" i="1"/>
  <c r="E17" i="1"/>
  <c r="E27" i="1"/>
  <c r="E37" i="1"/>
  <c r="E28" i="1"/>
  <c r="E38" i="1"/>
  <c r="E9" i="1"/>
  <c r="E18" i="1"/>
  <c r="E39" i="1"/>
  <c r="E19" i="1"/>
  <c r="E40" i="1"/>
  <c r="E10" i="1"/>
  <c r="E29" i="1"/>
  <c r="E41" i="1"/>
  <c r="E30" i="1"/>
  <c r="E11" i="1"/>
  <c r="E20" i="1"/>
  <c r="E31" i="1"/>
  <c r="E42" i="1"/>
  <c r="E21" i="1"/>
  <c r="E2" i="1"/>
</calcChain>
</file>

<file path=xl/sharedStrings.xml><?xml version="1.0" encoding="utf-8"?>
<sst xmlns="http://schemas.openxmlformats.org/spreadsheetml/2006/main" count="328" uniqueCount="27">
  <si>
    <t>Nr orbitalu</t>
  </si>
  <si>
    <t>Numer i rodzaj atomu</t>
  </si>
  <si>
    <t>Rodzaj składowej</t>
  </si>
  <si>
    <t>wartości współczynnika</t>
  </si>
  <si>
    <t>kwadraty współczynnika</t>
  </si>
  <si>
    <t>0C</t>
  </si>
  <si>
    <t>1s</t>
  </si>
  <si>
    <t>2s</t>
  </si>
  <si>
    <t xml:space="preserve">0C   </t>
  </si>
  <si>
    <t>3s</t>
  </si>
  <si>
    <t>1pz</t>
  </si>
  <si>
    <t>1px</t>
  </si>
  <si>
    <t>1py</t>
  </si>
  <si>
    <t>2pz</t>
  </si>
  <si>
    <t>2px</t>
  </si>
  <si>
    <t>2py</t>
  </si>
  <si>
    <t>1H</t>
  </si>
  <si>
    <t>2H</t>
  </si>
  <si>
    <t>3H</t>
  </si>
  <si>
    <t>4H</t>
  </si>
  <si>
    <t>1C</t>
  </si>
  <si>
    <t>5H</t>
  </si>
  <si>
    <t>Orbital</t>
  </si>
  <si>
    <t>Suma kwadratów współczynników s</t>
  </si>
  <si>
    <t>Suma kwadratów współczynników p</t>
  </si>
  <si>
    <t>Dla hybrydyzacji sp3 metanu widzimy, że składowe s i p nigdy nie występują na tym samym orbitalu i rozkład p po równo na 3 orbitale, natomiast w hybrydyzacji sp2 zachodzi ich mieszanie w ramach tego samego orbitalu molekularnego i rozkład p jest nierównomierny-najwyższa wartość dla orbitalu pi</t>
  </si>
  <si>
    <t>*nie sumują się do 1, bo nie są tu uwzględnione atomy wodoru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</si>
</sst>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F32A-6308-4F20-998E-E38A4E554EA2}">
  <dimension ref="A1:E42"/>
  <sheetViews>
    <sheetView workbookViewId="0">
      <selection activeCell="F10" sqref="F10"/>
    </sheetView>
  </sheetViews>
  <sheetFormatPr defaultRowHeight="14.4" x14ac:dyDescent="0.3"/>
  <cols>
    <col min="2" max="2" width="8.6640625" customWidth="1"/>
    <col min="3" max="3" width="8.88671875" customWidth="1"/>
    <col min="4" max="4" width="12.6640625" customWidth="1"/>
    <col min="5" max="5" width="13" customWidth="1"/>
  </cols>
  <sheetData>
    <row r="1" spans="1:5" ht="40.200000000000003" customHeight="1" x14ac:dyDescent="0.3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0</v>
      </c>
      <c r="B2" t="s">
        <v>5</v>
      </c>
      <c r="C2" t="s">
        <v>6</v>
      </c>
      <c r="D2">
        <v>0.98787400000000003</v>
      </c>
      <c r="E2">
        <f>POWER(D2,2)</f>
        <v>0.97589503987600001</v>
      </c>
    </row>
    <row r="3" spans="1:5" x14ac:dyDescent="0.3">
      <c r="A3">
        <v>0</v>
      </c>
      <c r="B3" t="s">
        <v>5</v>
      </c>
      <c r="C3" t="s">
        <v>7</v>
      </c>
      <c r="D3">
        <v>5.1387000000000002E-2</v>
      </c>
      <c r="E3">
        <f>POWER(D3,2)</f>
        <v>2.6406237690000003E-3</v>
      </c>
    </row>
    <row r="4" spans="1:5" x14ac:dyDescent="0.3">
      <c r="A4">
        <v>0</v>
      </c>
      <c r="B4" t="s">
        <v>8</v>
      </c>
      <c r="C4" t="s">
        <v>9</v>
      </c>
      <c r="D4">
        <v>-3.9877000000000003E-2</v>
      </c>
      <c r="E4">
        <f>POWER(D4,2)</f>
        <v>1.5901751290000002E-3</v>
      </c>
    </row>
    <row r="5" spans="1:5" x14ac:dyDescent="0.3">
      <c r="A5">
        <v>1</v>
      </c>
      <c r="B5" t="s">
        <v>5</v>
      </c>
      <c r="C5" t="s">
        <v>6</v>
      </c>
      <c r="D5">
        <v>0.25019200000000003</v>
      </c>
      <c r="E5">
        <f>POWER(D5,2)</f>
        <v>6.2596036864000018E-2</v>
      </c>
    </row>
    <row r="6" spans="1:5" x14ac:dyDescent="0.3">
      <c r="A6">
        <v>1</v>
      </c>
      <c r="B6" t="s">
        <v>5</v>
      </c>
      <c r="C6" t="s">
        <v>7</v>
      </c>
      <c r="D6">
        <v>-0.486933</v>
      </c>
      <c r="E6">
        <f>POWER(D6,2)</f>
        <v>0.23710374648900001</v>
      </c>
    </row>
    <row r="7" spans="1:5" x14ac:dyDescent="0.3">
      <c r="A7">
        <v>1</v>
      </c>
      <c r="B7" t="s">
        <v>8</v>
      </c>
      <c r="C7" t="s">
        <v>9</v>
      </c>
      <c r="D7">
        <v>-0.11036899999999999</v>
      </c>
      <c r="E7">
        <f>POWER(D7,2)</f>
        <v>1.2181316160999999E-2</v>
      </c>
    </row>
    <row r="8" spans="1:5" x14ac:dyDescent="0.3">
      <c r="A8">
        <v>1</v>
      </c>
      <c r="B8" t="s">
        <v>16</v>
      </c>
      <c r="C8" t="s">
        <v>6</v>
      </c>
      <c r="D8">
        <v>-0.178622</v>
      </c>
      <c r="E8">
        <f>POWER(D8,2)</f>
        <v>3.1905818884000001E-2</v>
      </c>
    </row>
    <row r="9" spans="1:5" x14ac:dyDescent="0.3">
      <c r="A9">
        <v>1</v>
      </c>
      <c r="B9" t="s">
        <v>17</v>
      </c>
      <c r="C9" t="s">
        <v>6</v>
      </c>
      <c r="D9">
        <v>-0.17861399999999999</v>
      </c>
      <c r="E9">
        <f>POWER(D9,2)</f>
        <v>3.1902960995999999E-2</v>
      </c>
    </row>
    <row r="10" spans="1:5" x14ac:dyDescent="0.3">
      <c r="A10">
        <v>1</v>
      </c>
      <c r="B10" t="s">
        <v>18</v>
      </c>
      <c r="C10" t="s">
        <v>6</v>
      </c>
      <c r="D10">
        <v>-0.178615</v>
      </c>
      <c r="E10">
        <f>POWER(D10,2)</f>
        <v>3.1903318224999998E-2</v>
      </c>
    </row>
    <row r="11" spans="1:5" x14ac:dyDescent="0.3">
      <c r="A11">
        <v>1</v>
      </c>
      <c r="B11" t="s">
        <v>19</v>
      </c>
      <c r="C11" t="s">
        <v>6</v>
      </c>
      <c r="D11">
        <v>-0.17862</v>
      </c>
      <c r="E11">
        <f>POWER(D11,2)</f>
        <v>3.1905104400000002E-2</v>
      </c>
    </row>
    <row r="12" spans="1:5" x14ac:dyDescent="0.3">
      <c r="A12">
        <v>2</v>
      </c>
      <c r="B12" t="s">
        <v>5</v>
      </c>
      <c r="C12" t="s">
        <v>10</v>
      </c>
      <c r="D12">
        <v>-0.31168899999999999</v>
      </c>
      <c r="E12">
        <f>POWER(D12,2)</f>
        <v>9.7150032720999993E-2</v>
      </c>
    </row>
    <row r="13" spans="1:5" x14ac:dyDescent="0.3">
      <c r="A13">
        <v>2</v>
      </c>
      <c r="B13" t="s">
        <v>5</v>
      </c>
      <c r="C13" t="s">
        <v>11</v>
      </c>
      <c r="D13">
        <v>-0.13930300000000001</v>
      </c>
      <c r="E13">
        <f>POWER(D13,2)</f>
        <v>1.9405325809000003E-2</v>
      </c>
    </row>
    <row r="14" spans="1:5" x14ac:dyDescent="0.3">
      <c r="A14">
        <v>2</v>
      </c>
      <c r="B14" t="s">
        <v>5</v>
      </c>
      <c r="C14" t="s">
        <v>12</v>
      </c>
      <c r="D14">
        <v>-0.27973100000000001</v>
      </c>
      <c r="E14">
        <f>POWER(D14,2)</f>
        <v>7.8249432361000001E-2</v>
      </c>
    </row>
    <row r="15" spans="1:5" x14ac:dyDescent="0.3">
      <c r="A15">
        <v>2</v>
      </c>
      <c r="B15" t="s">
        <v>5</v>
      </c>
      <c r="C15" t="s">
        <v>13</v>
      </c>
      <c r="D15">
        <v>-0.128584</v>
      </c>
      <c r="E15">
        <f>POWER(D15,2)</f>
        <v>1.6533845056000002E-2</v>
      </c>
    </row>
    <row r="16" spans="1:5" x14ac:dyDescent="0.3">
      <c r="A16">
        <v>2</v>
      </c>
      <c r="B16" t="s">
        <v>5</v>
      </c>
      <c r="C16" t="s">
        <v>15</v>
      </c>
      <c r="D16">
        <v>-0.115413</v>
      </c>
      <c r="E16">
        <f>POWER(D16,2)</f>
        <v>1.3320160569000001E-2</v>
      </c>
    </row>
    <row r="17" spans="1:5" x14ac:dyDescent="0.3">
      <c r="A17">
        <v>2</v>
      </c>
      <c r="B17" t="s">
        <v>16</v>
      </c>
      <c r="C17" t="s">
        <v>6</v>
      </c>
      <c r="D17">
        <v>-0.14171</v>
      </c>
      <c r="E17">
        <f>POWER(D17,2)</f>
        <v>2.00817241E-2</v>
      </c>
    </row>
    <row r="18" spans="1:5" x14ac:dyDescent="0.3">
      <c r="A18">
        <v>2</v>
      </c>
      <c r="B18" t="s">
        <v>17</v>
      </c>
      <c r="C18" t="s">
        <v>6</v>
      </c>
      <c r="D18">
        <v>-0.24177299999999999</v>
      </c>
      <c r="E18">
        <f>POWER(D18,2)</f>
        <v>5.8454183528999996E-2</v>
      </c>
    </row>
    <row r="19" spans="1:5" x14ac:dyDescent="0.3">
      <c r="A19">
        <v>2</v>
      </c>
      <c r="B19" t="s">
        <v>17</v>
      </c>
      <c r="C19" t="s">
        <v>7</v>
      </c>
      <c r="D19">
        <v>-0.10800800000000001</v>
      </c>
      <c r="E19">
        <f>POWER(D19,2)</f>
        <v>1.1665728064000002E-2</v>
      </c>
    </row>
    <row r="20" spans="1:5" x14ac:dyDescent="0.3">
      <c r="A20">
        <v>2</v>
      </c>
      <c r="B20" t="s">
        <v>19</v>
      </c>
      <c r="C20" t="s">
        <v>6</v>
      </c>
      <c r="D20">
        <v>0.34642499999999998</v>
      </c>
      <c r="E20">
        <f>POWER(D20,2)</f>
        <v>0.12001028062499999</v>
      </c>
    </row>
    <row r="21" spans="1:5" x14ac:dyDescent="0.3">
      <c r="A21">
        <v>2</v>
      </c>
      <c r="B21" t="s">
        <v>19</v>
      </c>
      <c r="C21" t="s">
        <v>7</v>
      </c>
      <c r="D21">
        <v>0.15484500000000001</v>
      </c>
      <c r="E21">
        <f>POWER(D21,2)</f>
        <v>2.3976974025000004E-2</v>
      </c>
    </row>
    <row r="22" spans="1:5" x14ac:dyDescent="0.3">
      <c r="A22">
        <v>3</v>
      </c>
      <c r="B22" t="s">
        <v>5</v>
      </c>
      <c r="C22" t="s">
        <v>10</v>
      </c>
      <c r="D22">
        <v>0.25581500000000001</v>
      </c>
      <c r="E22">
        <f>POWER(D22,2)</f>
        <v>6.5441314225000005E-2</v>
      </c>
    </row>
    <row r="23" spans="1:5" x14ac:dyDescent="0.3">
      <c r="A23">
        <v>3</v>
      </c>
      <c r="B23" t="s">
        <v>5</v>
      </c>
      <c r="C23" t="s">
        <v>11</v>
      </c>
      <c r="D23">
        <v>-0.34066400000000002</v>
      </c>
      <c r="E23">
        <f>POWER(D23,2)</f>
        <v>0.11605196089600002</v>
      </c>
    </row>
    <row r="24" spans="1:5" x14ac:dyDescent="0.3">
      <c r="A24">
        <v>3</v>
      </c>
      <c r="B24" t="s">
        <v>5</v>
      </c>
      <c r="C24" t="s">
        <v>12</v>
      </c>
      <c r="D24">
        <v>-0.115401</v>
      </c>
      <c r="E24">
        <f>POWER(D24,2)</f>
        <v>1.3317390801000001E-2</v>
      </c>
    </row>
    <row r="25" spans="1:5" x14ac:dyDescent="0.3">
      <c r="A25">
        <v>3</v>
      </c>
      <c r="B25" t="s">
        <v>5</v>
      </c>
      <c r="C25" t="s">
        <v>13</v>
      </c>
      <c r="D25">
        <v>0.105491</v>
      </c>
      <c r="E25">
        <f>POWER(D25,2)</f>
        <v>1.1128351081E-2</v>
      </c>
    </row>
    <row r="26" spans="1:5" x14ac:dyDescent="0.3">
      <c r="A26">
        <v>3</v>
      </c>
      <c r="B26" t="s">
        <v>5</v>
      </c>
      <c r="C26" t="s">
        <v>14</v>
      </c>
      <c r="D26">
        <v>-0.14047499999999999</v>
      </c>
      <c r="E26">
        <f>POWER(D26,2)</f>
        <v>1.9733225624999996E-2</v>
      </c>
    </row>
    <row r="27" spans="1:5" x14ac:dyDescent="0.3">
      <c r="A27">
        <v>3</v>
      </c>
      <c r="B27" t="s">
        <v>16</v>
      </c>
      <c r="C27" t="s">
        <v>6</v>
      </c>
      <c r="D27">
        <v>-0.26632800000000001</v>
      </c>
      <c r="E27">
        <f>POWER(D27,2)</f>
        <v>7.093060358400001E-2</v>
      </c>
    </row>
    <row r="28" spans="1:5" x14ac:dyDescent="0.3">
      <c r="A28">
        <v>3</v>
      </c>
      <c r="B28" t="s">
        <v>16</v>
      </c>
      <c r="C28" t="s">
        <v>7</v>
      </c>
      <c r="D28">
        <v>-0.119102</v>
      </c>
      <c r="E28">
        <f>POWER(D28,2)</f>
        <v>1.4185286404E-2</v>
      </c>
    </row>
    <row r="29" spans="1:5" x14ac:dyDescent="0.3">
      <c r="A29">
        <v>3</v>
      </c>
      <c r="B29" t="s">
        <v>18</v>
      </c>
      <c r="C29" t="s">
        <v>6</v>
      </c>
      <c r="D29">
        <v>0.33756999999999998</v>
      </c>
      <c r="E29">
        <f>POWER(D29,2)</f>
        <v>0.11395350489999999</v>
      </c>
    </row>
    <row r="30" spans="1:5" x14ac:dyDescent="0.3">
      <c r="A30">
        <v>3</v>
      </c>
      <c r="B30" t="s">
        <v>18</v>
      </c>
      <c r="C30" t="s">
        <v>7</v>
      </c>
      <c r="D30">
        <v>0.15090700000000001</v>
      </c>
      <c r="E30">
        <f>POWER(D30,2)</f>
        <v>2.2772922649000004E-2</v>
      </c>
    </row>
    <row r="31" spans="1:5" x14ac:dyDescent="0.3">
      <c r="A31">
        <v>3</v>
      </c>
      <c r="B31" t="s">
        <v>19</v>
      </c>
      <c r="C31" t="s">
        <v>6</v>
      </c>
      <c r="D31">
        <v>-0.11471199999999999</v>
      </c>
      <c r="E31">
        <f>POWER(D31,2)</f>
        <v>1.3158842943999998E-2</v>
      </c>
    </row>
    <row r="32" spans="1:5" x14ac:dyDescent="0.3">
      <c r="A32">
        <v>4</v>
      </c>
      <c r="B32" t="s">
        <v>5</v>
      </c>
      <c r="C32" t="s">
        <v>10</v>
      </c>
      <c r="D32">
        <v>-0.17948</v>
      </c>
      <c r="E32">
        <f>POWER(D32,2)</f>
        <v>3.2213070400000002E-2</v>
      </c>
    </row>
    <row r="33" spans="1:5" x14ac:dyDescent="0.3">
      <c r="A33">
        <v>4</v>
      </c>
      <c r="B33" t="s">
        <v>5</v>
      </c>
      <c r="C33" t="s">
        <v>11</v>
      </c>
      <c r="D33">
        <v>-0.24360899999999999</v>
      </c>
      <c r="E33">
        <f>POWER(D33,2)</f>
        <v>5.9345344880999996E-2</v>
      </c>
    </row>
    <row r="34" spans="1:5" x14ac:dyDescent="0.3">
      <c r="A34">
        <v>4</v>
      </c>
      <c r="B34" t="s">
        <v>5</v>
      </c>
      <c r="C34" t="s">
        <v>12</v>
      </c>
      <c r="D34">
        <v>0.32130999999999998</v>
      </c>
      <c r="E34">
        <f>POWER(D34,2)</f>
        <v>0.10324011609999999</v>
      </c>
    </row>
    <row r="35" spans="1:5" x14ac:dyDescent="0.3">
      <c r="A35">
        <v>4</v>
      </c>
      <c r="B35" t="s">
        <v>5</v>
      </c>
      <c r="C35" t="s">
        <v>14</v>
      </c>
      <c r="D35">
        <v>-0.100512</v>
      </c>
      <c r="E35">
        <f>POWER(D35,2)</f>
        <v>1.0102662144000001E-2</v>
      </c>
    </row>
    <row r="36" spans="1:5" x14ac:dyDescent="0.3">
      <c r="A36">
        <v>4</v>
      </c>
      <c r="B36" t="s">
        <v>5</v>
      </c>
      <c r="C36" t="s">
        <v>15</v>
      </c>
      <c r="D36">
        <v>0.13248599999999999</v>
      </c>
      <c r="E36">
        <f>POWER(D36,2)</f>
        <v>1.7552540195999999E-2</v>
      </c>
    </row>
    <row r="37" spans="1:5" x14ac:dyDescent="0.3">
      <c r="A37">
        <v>4</v>
      </c>
      <c r="B37" t="s">
        <v>16</v>
      </c>
      <c r="C37" t="s">
        <v>6</v>
      </c>
      <c r="D37">
        <v>-0.242752</v>
      </c>
      <c r="E37">
        <f>POWER(D37,2)</f>
        <v>5.8928533504E-2</v>
      </c>
    </row>
    <row r="38" spans="1:5" x14ac:dyDescent="0.3">
      <c r="A38">
        <v>4</v>
      </c>
      <c r="B38" t="s">
        <v>16</v>
      </c>
      <c r="C38" t="s">
        <v>7</v>
      </c>
      <c r="D38">
        <v>-0.10850700000000001</v>
      </c>
      <c r="E38">
        <f>POWER(D38,2)</f>
        <v>1.1773769049000002E-2</v>
      </c>
    </row>
    <row r="39" spans="1:5" x14ac:dyDescent="0.3">
      <c r="A39">
        <v>4</v>
      </c>
      <c r="B39" t="s">
        <v>17</v>
      </c>
      <c r="C39" t="s">
        <v>6</v>
      </c>
      <c r="D39">
        <v>0.29932599999999998</v>
      </c>
      <c r="E39">
        <f>POWER(D39,2)</f>
        <v>8.9596054275999995E-2</v>
      </c>
    </row>
    <row r="40" spans="1:5" x14ac:dyDescent="0.3">
      <c r="A40">
        <v>4</v>
      </c>
      <c r="B40" t="s">
        <v>17</v>
      </c>
      <c r="C40" t="s">
        <v>7</v>
      </c>
      <c r="D40">
        <v>0.13387099999999999</v>
      </c>
      <c r="E40">
        <f>POWER(D40,2)</f>
        <v>1.7921444640999998E-2</v>
      </c>
    </row>
    <row r="41" spans="1:5" x14ac:dyDescent="0.3">
      <c r="A41">
        <v>4</v>
      </c>
      <c r="B41" t="s">
        <v>18</v>
      </c>
      <c r="C41" t="s">
        <v>6</v>
      </c>
      <c r="D41">
        <v>-0.18607499999999999</v>
      </c>
      <c r="E41">
        <f>POWER(D41,2)</f>
        <v>3.4623905625E-2</v>
      </c>
    </row>
    <row r="42" spans="1:5" x14ac:dyDescent="0.3">
      <c r="A42">
        <v>4</v>
      </c>
      <c r="B42" t="s">
        <v>19</v>
      </c>
      <c r="C42" t="s">
        <v>6</v>
      </c>
      <c r="D42">
        <v>0.129493</v>
      </c>
      <c r="E42">
        <f>POWER(D42,2)</f>
        <v>1.6768437048999999E-2</v>
      </c>
    </row>
  </sheetData>
  <sortState xmlns:xlrd2="http://schemas.microsoft.com/office/spreadsheetml/2017/richdata2" ref="A2:E42">
    <sortCondition ref="A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3ADA-E92A-4699-B922-28FCDC7913B9}">
  <dimension ref="A1:E57"/>
  <sheetViews>
    <sheetView topLeftCell="A29" workbookViewId="0">
      <selection activeCell="G11" sqref="G11"/>
    </sheetView>
  </sheetViews>
  <sheetFormatPr defaultRowHeight="14.4" x14ac:dyDescent="0.3"/>
  <sheetData>
    <row r="1" spans="1:5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0</v>
      </c>
      <c r="B2" t="s">
        <v>5</v>
      </c>
      <c r="C2" t="s">
        <v>6</v>
      </c>
      <c r="D2">
        <v>0.70201499999999994</v>
      </c>
      <c r="E2">
        <f>POWER(D2,2)</f>
        <v>0.49282506022499994</v>
      </c>
    </row>
    <row r="3" spans="1:5" x14ac:dyDescent="0.3">
      <c r="A3">
        <v>0</v>
      </c>
      <c r="B3" t="s">
        <v>20</v>
      </c>
      <c r="C3" t="s">
        <v>6</v>
      </c>
      <c r="D3">
        <v>0.69622099999999998</v>
      </c>
      <c r="E3">
        <f>POWER(D3,2)</f>
        <v>0.48472368084099998</v>
      </c>
    </row>
    <row r="4" spans="1:5" x14ac:dyDescent="0.3">
      <c r="A4">
        <v>1</v>
      </c>
      <c r="B4" t="s">
        <v>5</v>
      </c>
      <c r="C4" t="s">
        <v>6</v>
      </c>
      <c r="D4">
        <v>-0.69551799999999997</v>
      </c>
      <c r="E4">
        <f>POWER(D4,2)</f>
        <v>0.48374528832399993</v>
      </c>
    </row>
    <row r="5" spans="1:5" x14ac:dyDescent="0.3">
      <c r="A5">
        <v>1</v>
      </c>
      <c r="B5" t="s">
        <v>20</v>
      </c>
      <c r="C5" t="s">
        <v>6</v>
      </c>
      <c r="D5">
        <v>0.701318</v>
      </c>
      <c r="E5">
        <f>POWER(D5,2)</f>
        <v>0.49184693712400002</v>
      </c>
    </row>
    <row r="6" spans="1:5" x14ac:dyDescent="0.3">
      <c r="A6">
        <v>2</v>
      </c>
      <c r="B6" t="s">
        <v>5</v>
      </c>
      <c r="C6" t="s">
        <v>6</v>
      </c>
      <c r="D6">
        <v>0.203177</v>
      </c>
      <c r="E6">
        <f>POWER(D6,2)</f>
        <v>4.1280893329E-2</v>
      </c>
    </row>
    <row r="7" spans="1:5" x14ac:dyDescent="0.3">
      <c r="A7">
        <v>2</v>
      </c>
      <c r="B7" t="s">
        <v>5</v>
      </c>
      <c r="C7" t="s">
        <v>7</v>
      </c>
      <c r="D7">
        <v>-0.38987300000000003</v>
      </c>
      <c r="E7">
        <f>POWER(D7,2)</f>
        <v>0.15200095612900003</v>
      </c>
    </row>
    <row r="8" spans="1:5" x14ac:dyDescent="0.3">
      <c r="A8">
        <v>2</v>
      </c>
      <c r="B8" t="s">
        <v>5</v>
      </c>
      <c r="C8" t="s">
        <v>9</v>
      </c>
      <c r="D8">
        <v>-0.10753799999999999</v>
      </c>
      <c r="E8">
        <f>POWER(D8,2)</f>
        <v>1.1564421443999998E-2</v>
      </c>
    </row>
    <row r="9" spans="1:5" x14ac:dyDescent="0.3">
      <c r="A9">
        <v>2</v>
      </c>
      <c r="B9" t="s">
        <v>20</v>
      </c>
      <c r="C9" t="s">
        <v>6</v>
      </c>
      <c r="D9">
        <v>0.20317499999999999</v>
      </c>
      <c r="E9">
        <f>POWER(D9,2)</f>
        <v>4.1280080625E-2</v>
      </c>
    </row>
    <row r="10" spans="1:5" x14ac:dyDescent="0.3">
      <c r="A10">
        <v>2</v>
      </c>
      <c r="B10" t="s">
        <v>20</v>
      </c>
      <c r="C10" t="s">
        <v>7</v>
      </c>
      <c r="D10">
        <v>-0.38986999999999999</v>
      </c>
      <c r="E10">
        <f>POWER(D10,2)</f>
        <v>0.15199861689999999</v>
      </c>
    </row>
    <row r="11" spans="1:5" x14ac:dyDescent="0.3">
      <c r="A11">
        <v>2</v>
      </c>
      <c r="B11" t="s">
        <v>20</v>
      </c>
      <c r="C11" t="s">
        <v>9</v>
      </c>
      <c r="D11">
        <v>-0.10753699999999999</v>
      </c>
      <c r="E11">
        <f>POWER(D11,2)</f>
        <v>1.1564206368999999E-2</v>
      </c>
    </row>
    <row r="12" spans="1:5" x14ac:dyDescent="0.3">
      <c r="A12">
        <v>2</v>
      </c>
      <c r="B12" t="s">
        <v>5</v>
      </c>
      <c r="C12" t="s">
        <v>11</v>
      </c>
      <c r="D12">
        <v>0.110594</v>
      </c>
      <c r="E12">
        <f>POWER(D12,2)</f>
        <v>1.2231032835999999E-2</v>
      </c>
    </row>
    <row r="13" spans="1:5" x14ac:dyDescent="0.3">
      <c r="A13">
        <v>2</v>
      </c>
      <c r="B13" t="s">
        <v>20</v>
      </c>
      <c r="C13" t="s">
        <v>11</v>
      </c>
      <c r="D13">
        <v>-0.110596</v>
      </c>
      <c r="E13">
        <f>POWER(D13,2)</f>
        <v>1.2231475215999999E-2</v>
      </c>
    </row>
    <row r="14" spans="1:5" x14ac:dyDescent="0.3">
      <c r="A14">
        <v>2</v>
      </c>
      <c r="B14" t="s">
        <v>17</v>
      </c>
      <c r="C14" t="s">
        <v>6</v>
      </c>
      <c r="D14">
        <v>-0.106284</v>
      </c>
      <c r="E14">
        <f>POWER(D14,2)</f>
        <v>1.1296288656000001E-2</v>
      </c>
    </row>
    <row r="15" spans="1:5" x14ac:dyDescent="0.3">
      <c r="A15">
        <v>2</v>
      </c>
      <c r="B15" t="s">
        <v>18</v>
      </c>
      <c r="C15" t="s">
        <v>6</v>
      </c>
      <c r="D15">
        <v>-0.106293</v>
      </c>
      <c r="E15">
        <f>POWER(D15,2)</f>
        <v>1.1298201849E-2</v>
      </c>
    </row>
    <row r="16" spans="1:5" x14ac:dyDescent="0.3">
      <c r="A16">
        <v>2</v>
      </c>
      <c r="B16" t="s">
        <v>19</v>
      </c>
      <c r="C16" t="s">
        <v>6</v>
      </c>
      <c r="D16">
        <v>-0.106291</v>
      </c>
      <c r="E16">
        <f>POWER(D16,2)</f>
        <v>1.1297776681E-2</v>
      </c>
    </row>
    <row r="17" spans="1:5" x14ac:dyDescent="0.3">
      <c r="A17">
        <v>2</v>
      </c>
      <c r="B17" t="s">
        <v>21</v>
      </c>
      <c r="C17" t="s">
        <v>6</v>
      </c>
      <c r="D17">
        <v>-0.26847700000000002</v>
      </c>
      <c r="E17">
        <f>POWER(D17,2)</f>
        <v>7.2079899529000013E-2</v>
      </c>
    </row>
    <row r="18" spans="1:5" x14ac:dyDescent="0.3">
      <c r="A18">
        <v>3</v>
      </c>
      <c r="B18" t="s">
        <v>5</v>
      </c>
      <c r="C18" t="s">
        <v>6</v>
      </c>
      <c r="D18">
        <v>-0.15607699999999999</v>
      </c>
      <c r="E18">
        <f>POWER(D18,2)</f>
        <v>2.4360029928999997E-2</v>
      </c>
    </row>
    <row r="19" spans="1:5" x14ac:dyDescent="0.3">
      <c r="A19">
        <v>3</v>
      </c>
      <c r="B19" t="s">
        <v>5</v>
      </c>
      <c r="C19" t="s">
        <v>7</v>
      </c>
      <c r="D19">
        <v>0.31847500000000001</v>
      </c>
      <c r="E19">
        <f>POWER(D19,2)</f>
        <v>0.10142632562500001</v>
      </c>
    </row>
    <row r="20" spans="1:5" x14ac:dyDescent="0.3">
      <c r="A20">
        <v>3</v>
      </c>
      <c r="B20" t="s">
        <v>20</v>
      </c>
      <c r="C20" t="s">
        <v>6</v>
      </c>
      <c r="D20">
        <v>0.15608</v>
      </c>
      <c r="E20">
        <f>POWER(D20,2)</f>
        <v>2.43609664E-2</v>
      </c>
    </row>
    <row r="21" spans="1:5" x14ac:dyDescent="0.3">
      <c r="A21">
        <v>3</v>
      </c>
      <c r="B21" t="s">
        <v>20</v>
      </c>
      <c r="C21" t="s">
        <v>7</v>
      </c>
      <c r="D21">
        <v>-0.31848100000000001</v>
      </c>
      <c r="E21">
        <f>POWER(D21,2)</f>
        <v>0.10143014736100001</v>
      </c>
    </row>
    <row r="22" spans="1:5" x14ac:dyDescent="0.3">
      <c r="A22">
        <v>3</v>
      </c>
      <c r="B22" t="s">
        <v>5</v>
      </c>
      <c r="C22" t="s">
        <v>11</v>
      </c>
      <c r="D22">
        <v>0.159941</v>
      </c>
      <c r="E22">
        <f>POWER(D22,2)</f>
        <v>2.5581123481000001E-2</v>
      </c>
    </row>
    <row r="23" spans="1:5" x14ac:dyDescent="0.3">
      <c r="A23">
        <v>3</v>
      </c>
      <c r="B23" t="s">
        <v>20</v>
      </c>
      <c r="C23" t="s">
        <v>11</v>
      </c>
      <c r="D23">
        <v>0.15993399999999999</v>
      </c>
      <c r="E23">
        <f>POWER(D23,2)</f>
        <v>2.5578884355999996E-2</v>
      </c>
    </row>
    <row r="24" spans="1:5" x14ac:dyDescent="0.3">
      <c r="A24">
        <v>3</v>
      </c>
      <c r="B24" t="s">
        <v>17</v>
      </c>
      <c r="C24" t="s">
        <v>6</v>
      </c>
      <c r="D24">
        <v>0.19020500000000001</v>
      </c>
      <c r="E24">
        <f>POWER(D24,2)</f>
        <v>3.6177942025000007E-2</v>
      </c>
    </row>
    <row r="25" spans="1:5" x14ac:dyDescent="0.3">
      <c r="A25">
        <v>3</v>
      </c>
      <c r="B25" t="s">
        <v>18</v>
      </c>
      <c r="C25" t="s">
        <v>6</v>
      </c>
      <c r="D25">
        <v>0.19020000000000001</v>
      </c>
      <c r="E25">
        <f>POWER(D25,2)</f>
        <v>3.617604E-2</v>
      </c>
    </row>
    <row r="26" spans="1:5" x14ac:dyDescent="0.3">
      <c r="A26">
        <v>3</v>
      </c>
      <c r="B26" t="s">
        <v>19</v>
      </c>
      <c r="C26" t="s">
        <v>6</v>
      </c>
      <c r="D26">
        <v>-0.19019900000000001</v>
      </c>
      <c r="E26">
        <f>POWER(D26,2)</f>
        <v>3.6175659601000006E-2</v>
      </c>
    </row>
    <row r="27" spans="1:5" x14ac:dyDescent="0.3">
      <c r="A27">
        <v>3</v>
      </c>
      <c r="B27" t="s">
        <v>21</v>
      </c>
      <c r="C27" t="s">
        <v>6</v>
      </c>
      <c r="D27">
        <v>-0.19020400000000001</v>
      </c>
      <c r="E27">
        <f>POWER(D27,2)</f>
        <v>3.6177561616000005E-2</v>
      </c>
    </row>
    <row r="28" spans="1:5" x14ac:dyDescent="0.3">
      <c r="A28">
        <v>4</v>
      </c>
      <c r="B28" t="s">
        <v>5</v>
      </c>
      <c r="C28" t="s">
        <v>12</v>
      </c>
      <c r="D28">
        <v>0.32151400000000002</v>
      </c>
      <c r="E28">
        <f>POWER(D28,2)</f>
        <v>0.10337125219600002</v>
      </c>
    </row>
    <row r="29" spans="1:5" x14ac:dyDescent="0.3">
      <c r="A29">
        <v>4</v>
      </c>
      <c r="B29" t="s">
        <v>5</v>
      </c>
      <c r="C29" t="s">
        <v>15</v>
      </c>
      <c r="D29">
        <v>0.11078499999999999</v>
      </c>
      <c r="E29">
        <f>POWER(D29,2)</f>
        <v>1.2273316224999999E-2</v>
      </c>
    </row>
    <row r="30" spans="1:5" x14ac:dyDescent="0.3">
      <c r="A30">
        <v>4</v>
      </c>
      <c r="B30" t="s">
        <v>20</v>
      </c>
      <c r="C30" t="s">
        <v>12</v>
      </c>
      <c r="D30">
        <v>0.32150699999999999</v>
      </c>
      <c r="E30">
        <f>POWER(D30,2)</f>
        <v>0.10336675104899999</v>
      </c>
    </row>
    <row r="31" spans="1:5" x14ac:dyDescent="0.3">
      <c r="A31">
        <v>4</v>
      </c>
      <c r="B31" t="s">
        <v>20</v>
      </c>
      <c r="C31" t="s">
        <v>15</v>
      </c>
      <c r="D31">
        <v>0.11078499999999999</v>
      </c>
      <c r="E31">
        <f>POWER(D31,2)</f>
        <v>1.2273316224999999E-2</v>
      </c>
    </row>
    <row r="32" spans="1:5" x14ac:dyDescent="0.3">
      <c r="A32">
        <v>4</v>
      </c>
      <c r="B32" t="s">
        <v>17</v>
      </c>
      <c r="C32" t="s">
        <v>6</v>
      </c>
      <c r="D32">
        <v>0.20113700000000001</v>
      </c>
      <c r="E32">
        <f>POWER(D32,2)</f>
        <v>4.0456092769000002E-2</v>
      </c>
    </row>
    <row r="33" spans="1:5" x14ac:dyDescent="0.3">
      <c r="A33">
        <v>4</v>
      </c>
      <c r="B33" t="s">
        <v>18</v>
      </c>
      <c r="C33" t="s">
        <v>6</v>
      </c>
      <c r="D33">
        <v>-0.201154</v>
      </c>
      <c r="E33">
        <f>POWER(D33,2)</f>
        <v>4.0462931716000003E-2</v>
      </c>
    </row>
    <row r="34" spans="1:5" x14ac:dyDescent="0.3">
      <c r="A34">
        <v>4</v>
      </c>
      <c r="B34" t="s">
        <v>19</v>
      </c>
      <c r="C34" t="s">
        <v>6</v>
      </c>
      <c r="D34">
        <v>0.20114799999999999</v>
      </c>
      <c r="E34">
        <f>POWER(D34,2)</f>
        <v>4.0460517903999994E-2</v>
      </c>
    </row>
    <row r="35" spans="1:5" x14ac:dyDescent="0.3">
      <c r="A35">
        <v>4</v>
      </c>
      <c r="B35" t="s">
        <v>21</v>
      </c>
      <c r="C35" t="s">
        <v>6</v>
      </c>
      <c r="D35">
        <v>-0.201131</v>
      </c>
      <c r="E35">
        <f>POWER(D35,2)</f>
        <v>4.0453679161000004E-2</v>
      </c>
    </row>
    <row r="36" spans="1:5" x14ac:dyDescent="0.3">
      <c r="A36">
        <v>5</v>
      </c>
      <c r="B36" t="s">
        <v>5</v>
      </c>
      <c r="C36" t="s">
        <v>11</v>
      </c>
      <c r="D36">
        <v>0.400725</v>
      </c>
      <c r="E36">
        <f>POWER(D36,2)</f>
        <v>0.160580525625</v>
      </c>
    </row>
    <row r="37" spans="1:5" x14ac:dyDescent="0.3">
      <c r="A37">
        <v>5</v>
      </c>
      <c r="B37" t="s">
        <v>5</v>
      </c>
      <c r="C37" t="s">
        <v>14</v>
      </c>
      <c r="D37">
        <v>0.12697900000000001</v>
      </c>
      <c r="E37">
        <f>POWER(D37,2)</f>
        <v>1.6123666441000002E-2</v>
      </c>
    </row>
    <row r="38" spans="1:5" x14ac:dyDescent="0.3">
      <c r="A38">
        <v>5</v>
      </c>
      <c r="B38" t="s">
        <v>20</v>
      </c>
      <c r="C38" t="s">
        <v>11</v>
      </c>
      <c r="D38">
        <v>-0.40072799999999997</v>
      </c>
      <c r="E38">
        <f>POWER(D38,2)</f>
        <v>0.16058292998399998</v>
      </c>
    </row>
    <row r="39" spans="1:5" x14ac:dyDescent="0.3">
      <c r="A39">
        <v>5</v>
      </c>
      <c r="B39" t="s">
        <v>20</v>
      </c>
      <c r="C39" t="s">
        <v>14</v>
      </c>
      <c r="D39">
        <v>-0.12698100000000001</v>
      </c>
      <c r="E39">
        <f>POWER(D39,2)</f>
        <v>1.6124174361000002E-2</v>
      </c>
    </row>
    <row r="40" spans="1:5" x14ac:dyDescent="0.3">
      <c r="A40">
        <v>5</v>
      </c>
      <c r="B40" t="s">
        <v>17</v>
      </c>
      <c r="C40" t="s">
        <v>6</v>
      </c>
      <c r="D40">
        <v>0.166605</v>
      </c>
      <c r="E40">
        <f>POWER(D40,2)</f>
        <v>2.7757226025000001E-2</v>
      </c>
    </row>
    <row r="41" spans="1:5" x14ac:dyDescent="0.3">
      <c r="A41">
        <v>5</v>
      </c>
      <c r="B41" t="s">
        <v>18</v>
      </c>
      <c r="C41" t="s">
        <v>6</v>
      </c>
      <c r="D41">
        <v>0.16656899999999999</v>
      </c>
      <c r="E41">
        <f>POWER(D41,2)</f>
        <v>2.7745231760999998E-2</v>
      </c>
    </row>
    <row r="42" spans="1:5" x14ac:dyDescent="0.3">
      <c r="A42">
        <v>5</v>
      </c>
      <c r="B42" t="s">
        <v>19</v>
      </c>
      <c r="C42" t="s">
        <v>6</v>
      </c>
      <c r="D42">
        <v>0.166572</v>
      </c>
      <c r="E42">
        <f>POWER(D42,2)</f>
        <v>2.7746231183999999E-2</v>
      </c>
    </row>
    <row r="43" spans="1:5" x14ac:dyDescent="0.3">
      <c r="A43">
        <v>5</v>
      </c>
      <c r="B43" t="s">
        <v>21</v>
      </c>
      <c r="C43" t="s">
        <v>6</v>
      </c>
      <c r="D43">
        <v>0.16660800000000001</v>
      </c>
      <c r="E43">
        <f>POWER(D43,2)</f>
        <v>2.7758225664000002E-2</v>
      </c>
    </row>
    <row r="44" spans="1:5" x14ac:dyDescent="0.3">
      <c r="A44">
        <v>6</v>
      </c>
      <c r="B44" t="s">
        <v>5</v>
      </c>
      <c r="C44" t="s">
        <v>12</v>
      </c>
      <c r="D44">
        <v>-0.30001800000000001</v>
      </c>
      <c r="E44">
        <f>POWER(D44,2)</f>
        <v>9.0010800324000009E-2</v>
      </c>
    </row>
    <row r="45" spans="1:5" x14ac:dyDescent="0.3">
      <c r="A45">
        <v>6</v>
      </c>
      <c r="B45" t="s">
        <v>20</v>
      </c>
      <c r="C45" t="s">
        <v>12</v>
      </c>
      <c r="D45">
        <v>0.30002600000000001</v>
      </c>
      <c r="E45">
        <f>POWER(D45,2)</f>
        <v>9.0015600676000007E-2</v>
      </c>
    </row>
    <row r="46" spans="1:5" x14ac:dyDescent="0.3">
      <c r="A46">
        <v>6</v>
      </c>
      <c r="B46" t="s">
        <v>17</v>
      </c>
      <c r="C46" t="s">
        <v>6</v>
      </c>
      <c r="D46">
        <v>-0.26847199999999999</v>
      </c>
      <c r="E46">
        <f>POWER(D46,2)</f>
        <v>7.207721478399999E-2</v>
      </c>
    </row>
    <row r="47" spans="1:5" x14ac:dyDescent="0.3">
      <c r="A47">
        <v>6</v>
      </c>
      <c r="B47" t="s">
        <v>17</v>
      </c>
      <c r="C47" t="s">
        <v>7</v>
      </c>
      <c r="D47">
        <v>-0.161855</v>
      </c>
      <c r="E47">
        <f>POWER(D47,2)</f>
        <v>2.6197041024999999E-2</v>
      </c>
    </row>
    <row r="48" spans="1:5" x14ac:dyDescent="0.3">
      <c r="A48">
        <v>6</v>
      </c>
      <c r="B48" t="s">
        <v>18</v>
      </c>
      <c r="C48" t="s">
        <v>6</v>
      </c>
      <c r="D48">
        <v>0.26849000000000001</v>
      </c>
      <c r="E48">
        <f>POWER(D48,2)</f>
        <v>7.20868801E-2</v>
      </c>
    </row>
    <row r="49" spans="1:5" x14ac:dyDescent="0.3">
      <c r="A49">
        <v>6</v>
      </c>
      <c r="B49" t="s">
        <v>18</v>
      </c>
      <c r="C49" t="s">
        <v>7</v>
      </c>
      <c r="D49">
        <v>0.16186300000000001</v>
      </c>
      <c r="E49">
        <f>POWER(D49,2)</f>
        <v>2.6199630769000001E-2</v>
      </c>
    </row>
    <row r="50" spans="1:5" x14ac:dyDescent="0.3">
      <c r="A50">
        <v>6</v>
      </c>
      <c r="B50" t="s">
        <v>19</v>
      </c>
      <c r="C50" t="s">
        <v>6</v>
      </c>
      <c r="D50">
        <v>0.26849499999999998</v>
      </c>
      <c r="E50">
        <f>POWER(D50,2)</f>
        <v>7.2089565024999996E-2</v>
      </c>
    </row>
    <row r="51" spans="1:5" x14ac:dyDescent="0.3">
      <c r="A51">
        <v>6</v>
      </c>
      <c r="B51" t="s">
        <v>19</v>
      </c>
      <c r="C51" t="s">
        <v>7</v>
      </c>
      <c r="D51">
        <v>0.16186400000000001</v>
      </c>
      <c r="E51">
        <f>POWER(D51,2)</f>
        <v>2.6199954496000002E-2</v>
      </c>
    </row>
    <row r="52" spans="1:5" x14ac:dyDescent="0.3">
      <c r="A52">
        <v>6</v>
      </c>
      <c r="B52" t="s">
        <v>21</v>
      </c>
      <c r="C52" t="s">
        <v>6</v>
      </c>
      <c r="D52">
        <v>-0.26847700000000002</v>
      </c>
      <c r="E52">
        <f>POWER(D52,2)</f>
        <v>7.2079899529000013E-2</v>
      </c>
    </row>
    <row r="53" spans="1:5" x14ac:dyDescent="0.3">
      <c r="A53">
        <v>6</v>
      </c>
      <c r="B53" t="s">
        <v>21</v>
      </c>
      <c r="C53" t="s">
        <v>7</v>
      </c>
      <c r="D53">
        <v>-0.161856</v>
      </c>
      <c r="E53">
        <f>POWER(D53,2)</f>
        <v>2.6197364736000001E-2</v>
      </c>
    </row>
    <row r="54" spans="1:5" x14ac:dyDescent="0.3">
      <c r="A54">
        <v>7</v>
      </c>
      <c r="B54" t="s">
        <v>5</v>
      </c>
      <c r="C54" t="s">
        <v>10</v>
      </c>
      <c r="D54">
        <v>0.39947300000000002</v>
      </c>
      <c r="E54">
        <f>POWER(D54,2)</f>
        <v>0.15957867772900003</v>
      </c>
    </row>
    <row r="55" spans="1:5" x14ac:dyDescent="0.3">
      <c r="A55">
        <v>7</v>
      </c>
      <c r="B55" t="s">
        <v>5</v>
      </c>
      <c r="C55" t="s">
        <v>13</v>
      </c>
      <c r="D55">
        <v>0.26729000000000003</v>
      </c>
      <c r="E55">
        <f>POWER(D55,2)</f>
        <v>7.1443944100000017E-2</v>
      </c>
    </row>
    <row r="56" spans="1:5" x14ac:dyDescent="0.3">
      <c r="A56">
        <v>7</v>
      </c>
      <c r="B56" t="s">
        <v>20</v>
      </c>
      <c r="C56" t="s">
        <v>10</v>
      </c>
      <c r="D56">
        <v>0.39947500000000002</v>
      </c>
      <c r="E56">
        <f>POWER(D56,2)</f>
        <v>0.15958027562500002</v>
      </c>
    </row>
    <row r="57" spans="1:5" x14ac:dyDescent="0.3">
      <c r="A57">
        <v>7</v>
      </c>
      <c r="B57" t="s">
        <v>20</v>
      </c>
      <c r="C57" t="s">
        <v>13</v>
      </c>
      <c r="D57">
        <v>0.267291</v>
      </c>
      <c r="E57">
        <f>POWER(D57,2)</f>
        <v>7.1444478680999998E-2</v>
      </c>
    </row>
  </sheetData>
  <sortState xmlns:xlrd2="http://schemas.microsoft.com/office/spreadsheetml/2017/richdata2" ref="A2:E57">
    <sortCondition ref="A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1A65-2F16-4554-B52C-495B7196F6FF}">
  <dimension ref="A1:W33"/>
  <sheetViews>
    <sheetView tabSelected="1" workbookViewId="0">
      <selection activeCell="K16" sqref="K16"/>
    </sheetView>
  </sheetViews>
  <sheetFormatPr defaultRowHeight="14.4" x14ac:dyDescent="0.3"/>
  <cols>
    <col min="3" max="3" width="8.88671875" customWidth="1"/>
    <col min="4" max="4" width="0" hidden="1" customWidth="1"/>
    <col min="5" max="5" width="8.88671875" customWidth="1"/>
    <col min="8" max="8" width="14.77734375" customWidth="1"/>
    <col min="9" max="9" width="14.5546875" customWidth="1"/>
    <col min="14" max="14" width="6.88671875" customWidth="1"/>
    <col min="15" max="15" width="14.44140625" customWidth="1"/>
    <col min="16" max="16" width="14.5546875" customWidth="1"/>
    <col min="21" max="21" width="0" hidden="1" customWidth="1"/>
  </cols>
  <sheetData>
    <row r="1" spans="1:23" ht="52.2" customHeight="1" x14ac:dyDescent="0.3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2" t="s">
        <v>22</v>
      </c>
      <c r="H1" s="2" t="s">
        <v>23</v>
      </c>
      <c r="I1" s="2" t="s">
        <v>24</v>
      </c>
      <c r="J1" s="5" t="s">
        <v>25</v>
      </c>
      <c r="K1" s="4"/>
      <c r="L1" s="4"/>
      <c r="M1" s="4"/>
      <c r="N1" s="2" t="s">
        <v>22</v>
      </c>
      <c r="O1" s="2" t="s">
        <v>23</v>
      </c>
      <c r="P1" s="2" t="s">
        <v>24</v>
      </c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/>
    </row>
    <row r="2" spans="1:23" x14ac:dyDescent="0.3">
      <c r="A2">
        <v>0</v>
      </c>
      <c r="B2" t="s">
        <v>5</v>
      </c>
      <c r="C2" t="s">
        <v>6</v>
      </c>
      <c r="D2">
        <v>0.98787400000000003</v>
      </c>
      <c r="E2">
        <f>POWER(D2,2)</f>
        <v>0.97589503987600001</v>
      </c>
      <c r="F2" s="2"/>
      <c r="G2">
        <v>0</v>
      </c>
      <c r="H2">
        <f>SUM(E2:E4)</f>
        <v>0.98012583877399995</v>
      </c>
      <c r="I2">
        <v>0</v>
      </c>
      <c r="J2" s="4"/>
      <c r="K2" s="4"/>
      <c r="L2" s="4"/>
      <c r="M2" s="4"/>
      <c r="N2">
        <v>0</v>
      </c>
      <c r="O2">
        <f>SUM(V2:V3)</f>
        <v>0.97754874106599998</v>
      </c>
      <c r="P2">
        <v>0</v>
      </c>
      <c r="R2">
        <v>0</v>
      </c>
      <c r="S2" t="s">
        <v>5</v>
      </c>
      <c r="T2" t="s">
        <v>6</v>
      </c>
      <c r="U2">
        <v>0.70201499999999994</v>
      </c>
      <c r="V2">
        <f>POWER(U2,2)</f>
        <v>0.49282506022499994</v>
      </c>
      <c r="W2" s="2"/>
    </row>
    <row r="3" spans="1:23" x14ac:dyDescent="0.3">
      <c r="A3">
        <v>0</v>
      </c>
      <c r="B3" t="s">
        <v>5</v>
      </c>
      <c r="C3" t="s">
        <v>7</v>
      </c>
      <c r="D3">
        <v>5.1387000000000002E-2</v>
      </c>
      <c r="E3">
        <f>POWER(D3,2)</f>
        <v>2.6406237690000003E-3</v>
      </c>
      <c r="F3" s="2"/>
      <c r="G3">
        <v>1</v>
      </c>
      <c r="H3">
        <f>SUM(E5:E7)</f>
        <v>0.311881099514</v>
      </c>
      <c r="I3">
        <v>0</v>
      </c>
      <c r="J3" s="4"/>
      <c r="K3" s="4"/>
      <c r="L3" s="4"/>
      <c r="M3" s="4"/>
      <c r="N3">
        <v>1</v>
      </c>
      <c r="O3">
        <f>SUM(V4:V5)</f>
        <v>0.97559222544799995</v>
      </c>
      <c r="P3">
        <v>0</v>
      </c>
      <c r="R3">
        <v>0</v>
      </c>
      <c r="S3" t="s">
        <v>20</v>
      </c>
      <c r="T3" t="s">
        <v>6</v>
      </c>
      <c r="U3">
        <v>0.69622099999999998</v>
      </c>
      <c r="V3">
        <f>POWER(U3,2)</f>
        <v>0.48472368084099998</v>
      </c>
      <c r="W3" s="2"/>
    </row>
    <row r="4" spans="1:23" x14ac:dyDescent="0.3">
      <c r="A4">
        <v>0</v>
      </c>
      <c r="B4" t="s">
        <v>8</v>
      </c>
      <c r="C4" t="s">
        <v>9</v>
      </c>
      <c r="D4">
        <v>-3.9877000000000003E-2</v>
      </c>
      <c r="E4">
        <f>POWER(D4,2)</f>
        <v>1.5901751290000002E-3</v>
      </c>
      <c r="F4" s="2"/>
      <c r="G4">
        <v>2</v>
      </c>
      <c r="H4">
        <v>0</v>
      </c>
      <c r="I4">
        <f>SUM(E8:E12)</f>
        <v>0.22465879651600001</v>
      </c>
      <c r="J4" s="4"/>
      <c r="K4" s="4"/>
      <c r="L4" s="4"/>
      <c r="M4" s="4"/>
      <c r="N4">
        <v>2</v>
      </c>
      <c r="O4">
        <f>SUM(V6:V11)</f>
        <v>0.40968917479600003</v>
      </c>
      <c r="P4">
        <f>SUM(V12:V13)</f>
        <v>2.4462508051999999E-2</v>
      </c>
      <c r="R4">
        <v>1</v>
      </c>
      <c r="S4" t="s">
        <v>5</v>
      </c>
      <c r="T4" t="s">
        <v>6</v>
      </c>
      <c r="U4">
        <v>-0.69551799999999997</v>
      </c>
      <c r="V4">
        <f>POWER(U4,2)</f>
        <v>0.48374528832399993</v>
      </c>
      <c r="W4" s="2"/>
    </row>
    <row r="5" spans="1:23" x14ac:dyDescent="0.3">
      <c r="A5">
        <v>1</v>
      </c>
      <c r="B5" t="s">
        <v>5</v>
      </c>
      <c r="C5" t="s">
        <v>6</v>
      </c>
      <c r="D5">
        <v>0.25019200000000003</v>
      </c>
      <c r="E5">
        <f>POWER(D5,2)</f>
        <v>6.2596036864000018E-2</v>
      </c>
      <c r="F5" s="2"/>
      <c r="G5">
        <v>3</v>
      </c>
      <c r="H5">
        <v>0</v>
      </c>
      <c r="I5">
        <f>SUM(E13:E17)</f>
        <v>0.22567224262800001</v>
      </c>
      <c r="J5" s="4"/>
      <c r="K5" s="4"/>
      <c r="L5" s="4"/>
      <c r="M5" s="4"/>
      <c r="N5">
        <v>3</v>
      </c>
      <c r="O5">
        <f>SUM(V14:V17)</f>
        <v>0.25157746931500002</v>
      </c>
      <c r="P5">
        <f>SUM(V18:V19)</f>
        <v>5.1160007836999997E-2</v>
      </c>
      <c r="R5">
        <v>1</v>
      </c>
      <c r="S5" t="s">
        <v>20</v>
      </c>
      <c r="T5" t="s">
        <v>6</v>
      </c>
      <c r="U5">
        <v>0.701318</v>
      </c>
      <c r="V5">
        <f>POWER(U5,2)</f>
        <v>0.49184693712400002</v>
      </c>
      <c r="W5" s="2"/>
    </row>
    <row r="6" spans="1:23" x14ac:dyDescent="0.3">
      <c r="A6">
        <v>1</v>
      </c>
      <c r="B6" t="s">
        <v>5</v>
      </c>
      <c r="C6" t="s">
        <v>7</v>
      </c>
      <c r="D6">
        <v>-0.486933</v>
      </c>
      <c r="E6">
        <f>POWER(D6,2)</f>
        <v>0.23710374648900001</v>
      </c>
      <c r="F6" s="2"/>
      <c r="G6">
        <v>4</v>
      </c>
      <c r="H6">
        <v>0</v>
      </c>
      <c r="I6">
        <f>SUM(E18:E22)</f>
        <v>0.222453733721</v>
      </c>
      <c r="N6">
        <v>4</v>
      </c>
      <c r="O6">
        <v>0</v>
      </c>
      <c r="P6">
        <f>SUM(V20:V23)</f>
        <v>0.23128463569500002</v>
      </c>
      <c r="R6">
        <v>2</v>
      </c>
      <c r="S6" t="s">
        <v>5</v>
      </c>
      <c r="T6" t="s">
        <v>6</v>
      </c>
      <c r="U6">
        <v>0.203177</v>
      </c>
      <c r="V6">
        <f>POWER(U6,2)</f>
        <v>4.1280893329E-2</v>
      </c>
      <c r="W6" s="2"/>
    </row>
    <row r="7" spans="1:23" x14ac:dyDescent="0.3">
      <c r="A7">
        <v>1</v>
      </c>
      <c r="B7" t="s">
        <v>8</v>
      </c>
      <c r="C7" t="s">
        <v>9</v>
      </c>
      <c r="D7">
        <v>-0.11036899999999999</v>
      </c>
      <c r="E7">
        <f>POWER(D7,2)</f>
        <v>1.2181316160999999E-2</v>
      </c>
      <c r="F7" s="2"/>
      <c r="N7">
        <v>5</v>
      </c>
      <c r="O7">
        <v>0</v>
      </c>
      <c r="P7">
        <f>SUM(V24:V27)</f>
        <v>0.353411296411</v>
      </c>
      <c r="R7">
        <v>2</v>
      </c>
      <c r="S7" t="s">
        <v>5</v>
      </c>
      <c r="T7" t="s">
        <v>7</v>
      </c>
      <c r="U7">
        <v>-0.38987300000000003</v>
      </c>
      <c r="V7">
        <f>POWER(U7,2)</f>
        <v>0.15200095612900003</v>
      </c>
      <c r="W7" s="2"/>
    </row>
    <row r="8" spans="1:23" x14ac:dyDescent="0.3">
      <c r="A8">
        <v>2</v>
      </c>
      <c r="B8" t="s">
        <v>5</v>
      </c>
      <c r="C8" t="s">
        <v>10</v>
      </c>
      <c r="D8">
        <v>-0.31168899999999999</v>
      </c>
      <c r="E8">
        <f>POWER(D8,2)</f>
        <v>9.7150032720999993E-2</v>
      </c>
      <c r="F8" s="2"/>
      <c r="H8" s="3" t="s">
        <v>26</v>
      </c>
      <c r="I8" s="3"/>
      <c r="N8">
        <v>6</v>
      </c>
      <c r="O8">
        <v>0</v>
      </c>
      <c r="P8">
        <f>SUM(V28:V29)</f>
        <v>0.180026401</v>
      </c>
      <c r="R8">
        <v>2</v>
      </c>
      <c r="S8" t="s">
        <v>5</v>
      </c>
      <c r="T8" t="s">
        <v>9</v>
      </c>
      <c r="U8">
        <v>-0.10753799999999999</v>
      </c>
      <c r="V8">
        <f>POWER(U8,2)</f>
        <v>1.1564421443999998E-2</v>
      </c>
      <c r="W8" s="2"/>
    </row>
    <row r="9" spans="1:23" x14ac:dyDescent="0.3">
      <c r="A9">
        <v>2</v>
      </c>
      <c r="B9" t="s">
        <v>5</v>
      </c>
      <c r="C9" t="s">
        <v>11</v>
      </c>
      <c r="D9">
        <v>-0.13930300000000001</v>
      </c>
      <c r="E9">
        <f>POWER(D9,2)</f>
        <v>1.9405325809000003E-2</v>
      </c>
      <c r="F9" s="2"/>
      <c r="H9" s="3"/>
      <c r="I9" s="3"/>
      <c r="N9">
        <v>7</v>
      </c>
      <c r="O9">
        <v>0</v>
      </c>
      <c r="P9">
        <f>SUM(V30:V33)</f>
        <v>0.46204737613500008</v>
      </c>
      <c r="R9">
        <v>2</v>
      </c>
      <c r="S9" t="s">
        <v>20</v>
      </c>
      <c r="T9" t="s">
        <v>6</v>
      </c>
      <c r="U9">
        <v>0.20317499999999999</v>
      </c>
      <c r="V9">
        <f>POWER(U9,2)</f>
        <v>4.1280080625E-2</v>
      </c>
      <c r="W9" s="2"/>
    </row>
    <row r="10" spans="1:23" x14ac:dyDescent="0.3">
      <c r="A10">
        <v>2</v>
      </c>
      <c r="B10" t="s">
        <v>5</v>
      </c>
      <c r="C10" t="s">
        <v>12</v>
      </c>
      <c r="D10">
        <v>-0.27973100000000001</v>
      </c>
      <c r="E10">
        <f>POWER(D10,2)</f>
        <v>7.8249432361000001E-2</v>
      </c>
      <c r="F10" s="2"/>
      <c r="R10">
        <v>2</v>
      </c>
      <c r="S10" t="s">
        <v>20</v>
      </c>
      <c r="T10" t="s">
        <v>7</v>
      </c>
      <c r="U10">
        <v>-0.38986999999999999</v>
      </c>
      <c r="V10">
        <f>POWER(U10,2)</f>
        <v>0.15199861689999999</v>
      </c>
      <c r="W10" s="2"/>
    </row>
    <row r="11" spans="1:23" x14ac:dyDescent="0.3">
      <c r="A11">
        <v>2</v>
      </c>
      <c r="B11" t="s">
        <v>5</v>
      </c>
      <c r="C11" t="s">
        <v>13</v>
      </c>
      <c r="D11">
        <v>-0.128584</v>
      </c>
      <c r="E11">
        <f>POWER(D11,2)</f>
        <v>1.6533845056000002E-2</v>
      </c>
      <c r="F11" s="2"/>
      <c r="R11">
        <v>2</v>
      </c>
      <c r="S11" t="s">
        <v>20</v>
      </c>
      <c r="T11" t="s">
        <v>9</v>
      </c>
      <c r="U11">
        <v>-0.10753699999999999</v>
      </c>
      <c r="V11">
        <f>POWER(U11,2)</f>
        <v>1.1564206368999999E-2</v>
      </c>
      <c r="W11" s="2"/>
    </row>
    <row r="12" spans="1:23" x14ac:dyDescent="0.3">
      <c r="A12">
        <v>2</v>
      </c>
      <c r="B12" t="s">
        <v>5</v>
      </c>
      <c r="C12" t="s">
        <v>15</v>
      </c>
      <c r="D12">
        <v>-0.115413</v>
      </c>
      <c r="E12">
        <f>POWER(D12,2)</f>
        <v>1.3320160569000001E-2</v>
      </c>
      <c r="F12" s="2"/>
      <c r="R12">
        <v>2</v>
      </c>
      <c r="S12" t="s">
        <v>5</v>
      </c>
      <c r="T12" t="s">
        <v>11</v>
      </c>
      <c r="U12">
        <v>0.110594</v>
      </c>
      <c r="V12">
        <f>POWER(U12,2)</f>
        <v>1.2231032835999999E-2</v>
      </c>
      <c r="W12" s="2"/>
    </row>
    <row r="13" spans="1:23" x14ac:dyDescent="0.3">
      <c r="A13">
        <v>3</v>
      </c>
      <c r="B13" t="s">
        <v>5</v>
      </c>
      <c r="C13" t="s">
        <v>10</v>
      </c>
      <c r="D13">
        <v>0.25581500000000001</v>
      </c>
      <c r="E13">
        <f>POWER(D13,2)</f>
        <v>6.5441314225000005E-2</v>
      </c>
      <c r="F13" s="2"/>
      <c r="R13">
        <v>2</v>
      </c>
      <c r="S13" t="s">
        <v>20</v>
      </c>
      <c r="T13" t="s">
        <v>11</v>
      </c>
      <c r="U13">
        <v>-0.110596</v>
      </c>
      <c r="V13">
        <f>POWER(U13,2)</f>
        <v>1.2231475215999999E-2</v>
      </c>
      <c r="W13" s="2"/>
    </row>
    <row r="14" spans="1:23" x14ac:dyDescent="0.3">
      <c r="A14">
        <v>3</v>
      </c>
      <c r="B14" t="s">
        <v>5</v>
      </c>
      <c r="C14" t="s">
        <v>11</v>
      </c>
      <c r="D14">
        <v>-0.34066400000000002</v>
      </c>
      <c r="E14">
        <f>POWER(D14,2)</f>
        <v>0.11605196089600002</v>
      </c>
      <c r="F14" s="2"/>
      <c r="R14">
        <v>3</v>
      </c>
      <c r="S14" t="s">
        <v>5</v>
      </c>
      <c r="T14" t="s">
        <v>6</v>
      </c>
      <c r="U14">
        <v>-0.15607699999999999</v>
      </c>
      <c r="V14">
        <f>POWER(U14,2)</f>
        <v>2.4360029928999997E-2</v>
      </c>
      <c r="W14" s="2"/>
    </row>
    <row r="15" spans="1:23" x14ac:dyDescent="0.3">
      <c r="A15">
        <v>3</v>
      </c>
      <c r="B15" t="s">
        <v>5</v>
      </c>
      <c r="C15" t="s">
        <v>12</v>
      </c>
      <c r="D15">
        <v>-0.115401</v>
      </c>
      <c r="E15">
        <f>POWER(D15,2)</f>
        <v>1.3317390801000001E-2</v>
      </c>
      <c r="F15" s="2"/>
      <c r="R15">
        <v>3</v>
      </c>
      <c r="S15" t="s">
        <v>5</v>
      </c>
      <c r="T15" t="s">
        <v>7</v>
      </c>
      <c r="U15">
        <v>0.31847500000000001</v>
      </c>
      <c r="V15">
        <f>POWER(U15,2)</f>
        <v>0.10142632562500001</v>
      </c>
      <c r="W15" s="2"/>
    </row>
    <row r="16" spans="1:23" x14ac:dyDescent="0.3">
      <c r="A16">
        <v>3</v>
      </c>
      <c r="B16" t="s">
        <v>5</v>
      </c>
      <c r="C16" t="s">
        <v>13</v>
      </c>
      <c r="D16">
        <v>0.105491</v>
      </c>
      <c r="E16">
        <f>POWER(D16,2)</f>
        <v>1.1128351081E-2</v>
      </c>
      <c r="F16" s="2"/>
      <c r="R16">
        <v>3</v>
      </c>
      <c r="S16" t="s">
        <v>20</v>
      </c>
      <c r="T16" t="s">
        <v>6</v>
      </c>
      <c r="U16">
        <v>0.15608</v>
      </c>
      <c r="V16">
        <f>POWER(U16,2)</f>
        <v>2.43609664E-2</v>
      </c>
      <c r="W16" s="2"/>
    </row>
    <row r="17" spans="1:23" x14ac:dyDescent="0.3">
      <c r="A17">
        <v>3</v>
      </c>
      <c r="B17" t="s">
        <v>5</v>
      </c>
      <c r="C17" t="s">
        <v>14</v>
      </c>
      <c r="D17">
        <v>-0.14047499999999999</v>
      </c>
      <c r="E17">
        <f>POWER(D17,2)</f>
        <v>1.9733225624999996E-2</v>
      </c>
      <c r="F17" s="2"/>
      <c r="R17">
        <v>3</v>
      </c>
      <c r="S17" t="s">
        <v>20</v>
      </c>
      <c r="T17" t="s">
        <v>7</v>
      </c>
      <c r="U17">
        <v>-0.31848100000000001</v>
      </c>
      <c r="V17">
        <f>POWER(U17,2)</f>
        <v>0.10143014736100001</v>
      </c>
      <c r="W17" s="2"/>
    </row>
    <row r="18" spans="1:23" x14ac:dyDescent="0.3">
      <c r="A18">
        <v>4</v>
      </c>
      <c r="B18" t="s">
        <v>5</v>
      </c>
      <c r="C18" t="s">
        <v>10</v>
      </c>
      <c r="D18">
        <v>-0.17948</v>
      </c>
      <c r="E18">
        <f>POWER(D18,2)</f>
        <v>3.2213070400000002E-2</v>
      </c>
      <c r="F18" s="2"/>
      <c r="R18">
        <v>3</v>
      </c>
      <c r="S18" t="s">
        <v>5</v>
      </c>
      <c r="T18" t="s">
        <v>11</v>
      </c>
      <c r="U18">
        <v>0.159941</v>
      </c>
      <c r="V18">
        <f>POWER(U18,2)</f>
        <v>2.5581123481000001E-2</v>
      </c>
      <c r="W18" s="2"/>
    </row>
    <row r="19" spans="1:23" x14ac:dyDescent="0.3">
      <c r="A19">
        <v>4</v>
      </c>
      <c r="B19" t="s">
        <v>5</v>
      </c>
      <c r="C19" t="s">
        <v>11</v>
      </c>
      <c r="D19">
        <v>-0.24360899999999999</v>
      </c>
      <c r="E19">
        <f>POWER(D19,2)</f>
        <v>5.9345344880999996E-2</v>
      </c>
      <c r="F19" s="2"/>
      <c r="R19">
        <v>3</v>
      </c>
      <c r="S19" t="s">
        <v>20</v>
      </c>
      <c r="T19" t="s">
        <v>11</v>
      </c>
      <c r="U19">
        <v>0.15993399999999999</v>
      </c>
      <c r="V19">
        <f>POWER(U19,2)</f>
        <v>2.5578884355999996E-2</v>
      </c>
      <c r="W19" s="2"/>
    </row>
    <row r="20" spans="1:23" x14ac:dyDescent="0.3">
      <c r="A20">
        <v>4</v>
      </c>
      <c r="B20" t="s">
        <v>5</v>
      </c>
      <c r="C20" t="s">
        <v>12</v>
      </c>
      <c r="D20">
        <v>0.32130999999999998</v>
      </c>
      <c r="E20">
        <f>POWER(D20,2)</f>
        <v>0.10324011609999999</v>
      </c>
      <c r="F20" s="2"/>
      <c r="R20">
        <v>4</v>
      </c>
      <c r="S20" t="s">
        <v>5</v>
      </c>
      <c r="T20" t="s">
        <v>12</v>
      </c>
      <c r="U20">
        <v>0.32151400000000002</v>
      </c>
      <c r="V20">
        <f>POWER(U20,2)</f>
        <v>0.10337125219600002</v>
      </c>
      <c r="W20" s="2"/>
    </row>
    <row r="21" spans="1:23" x14ac:dyDescent="0.3">
      <c r="A21">
        <v>4</v>
      </c>
      <c r="B21" t="s">
        <v>5</v>
      </c>
      <c r="C21" t="s">
        <v>14</v>
      </c>
      <c r="D21">
        <v>-0.100512</v>
      </c>
      <c r="E21">
        <f>POWER(D21,2)</f>
        <v>1.0102662144000001E-2</v>
      </c>
      <c r="F21" s="2"/>
      <c r="R21">
        <v>4</v>
      </c>
      <c r="S21" t="s">
        <v>5</v>
      </c>
      <c r="T21" t="s">
        <v>15</v>
      </c>
      <c r="U21">
        <v>0.11078499999999999</v>
      </c>
      <c r="V21">
        <f>POWER(U21,2)</f>
        <v>1.2273316224999999E-2</v>
      </c>
      <c r="W21" s="2"/>
    </row>
    <row r="22" spans="1:23" x14ac:dyDescent="0.3">
      <c r="A22">
        <v>4</v>
      </c>
      <c r="B22" t="s">
        <v>5</v>
      </c>
      <c r="C22" t="s">
        <v>15</v>
      </c>
      <c r="D22">
        <v>0.13248599999999999</v>
      </c>
      <c r="E22">
        <f>POWER(D22,2)</f>
        <v>1.7552540195999999E-2</v>
      </c>
      <c r="F22" s="2"/>
      <c r="R22">
        <v>4</v>
      </c>
      <c r="S22" t="s">
        <v>20</v>
      </c>
      <c r="T22" t="s">
        <v>12</v>
      </c>
      <c r="U22">
        <v>0.32150699999999999</v>
      </c>
      <c r="V22">
        <f>POWER(U22,2)</f>
        <v>0.10336675104899999</v>
      </c>
      <c r="W22" s="2"/>
    </row>
    <row r="23" spans="1:23" x14ac:dyDescent="0.3">
      <c r="F23" s="2"/>
      <c r="R23">
        <v>4</v>
      </c>
      <c r="S23" t="s">
        <v>20</v>
      </c>
      <c r="T23" t="s">
        <v>15</v>
      </c>
      <c r="U23">
        <v>0.11078499999999999</v>
      </c>
      <c r="V23">
        <f>POWER(U23,2)</f>
        <v>1.2273316224999999E-2</v>
      </c>
      <c r="W23" s="2"/>
    </row>
    <row r="24" spans="1:23" x14ac:dyDescent="0.3">
      <c r="R24">
        <v>5</v>
      </c>
      <c r="S24" t="s">
        <v>5</v>
      </c>
      <c r="T24" t="s">
        <v>11</v>
      </c>
      <c r="U24">
        <v>0.400725</v>
      </c>
      <c r="V24">
        <f>POWER(U24,2)</f>
        <v>0.160580525625</v>
      </c>
      <c r="W24" s="2"/>
    </row>
    <row r="25" spans="1:23" x14ac:dyDescent="0.3">
      <c r="R25">
        <v>5</v>
      </c>
      <c r="S25" t="s">
        <v>5</v>
      </c>
      <c r="T25" t="s">
        <v>14</v>
      </c>
      <c r="U25">
        <v>0.12697900000000001</v>
      </c>
      <c r="V25">
        <f>POWER(U25,2)</f>
        <v>1.6123666441000002E-2</v>
      </c>
      <c r="W25" s="2"/>
    </row>
    <row r="26" spans="1:23" x14ac:dyDescent="0.3">
      <c r="R26">
        <v>5</v>
      </c>
      <c r="S26" t="s">
        <v>20</v>
      </c>
      <c r="T26" t="s">
        <v>11</v>
      </c>
      <c r="U26">
        <v>-0.40072799999999997</v>
      </c>
      <c r="V26">
        <f>POWER(U26,2)</f>
        <v>0.16058292998399998</v>
      </c>
      <c r="W26" s="2"/>
    </row>
    <row r="27" spans="1:23" x14ac:dyDescent="0.3">
      <c r="R27">
        <v>5</v>
      </c>
      <c r="S27" t="s">
        <v>20</v>
      </c>
      <c r="T27" t="s">
        <v>14</v>
      </c>
      <c r="U27">
        <v>-0.12698100000000001</v>
      </c>
      <c r="V27">
        <f>POWER(U27,2)</f>
        <v>1.6124174361000002E-2</v>
      </c>
      <c r="W27" s="2"/>
    </row>
    <row r="28" spans="1:23" x14ac:dyDescent="0.3">
      <c r="R28">
        <v>6</v>
      </c>
      <c r="S28" t="s">
        <v>5</v>
      </c>
      <c r="T28" t="s">
        <v>12</v>
      </c>
      <c r="U28">
        <v>-0.30001800000000001</v>
      </c>
      <c r="V28">
        <f>POWER(U28,2)</f>
        <v>9.0010800324000009E-2</v>
      </c>
      <c r="W28" s="2"/>
    </row>
    <row r="29" spans="1:23" x14ac:dyDescent="0.3">
      <c r="R29">
        <v>6</v>
      </c>
      <c r="S29" t="s">
        <v>20</v>
      </c>
      <c r="T29" t="s">
        <v>12</v>
      </c>
      <c r="U29">
        <v>0.30002600000000001</v>
      </c>
      <c r="V29">
        <f>POWER(U29,2)</f>
        <v>9.0015600676000007E-2</v>
      </c>
      <c r="W29" s="2"/>
    </row>
    <row r="30" spans="1:23" x14ac:dyDescent="0.3">
      <c r="R30">
        <v>7</v>
      </c>
      <c r="S30" t="s">
        <v>5</v>
      </c>
      <c r="T30" t="s">
        <v>10</v>
      </c>
      <c r="U30">
        <v>0.39947300000000002</v>
      </c>
      <c r="V30">
        <f>POWER(U30,2)</f>
        <v>0.15957867772900003</v>
      </c>
      <c r="W30" s="2"/>
    </row>
    <row r="31" spans="1:23" x14ac:dyDescent="0.3">
      <c r="R31">
        <v>7</v>
      </c>
      <c r="S31" t="s">
        <v>5</v>
      </c>
      <c r="T31" t="s">
        <v>13</v>
      </c>
      <c r="U31">
        <v>0.26729000000000003</v>
      </c>
      <c r="V31">
        <f>POWER(U31,2)</f>
        <v>7.1443944100000017E-2</v>
      </c>
      <c r="W31" s="2"/>
    </row>
    <row r="32" spans="1:23" x14ac:dyDescent="0.3">
      <c r="R32">
        <v>7</v>
      </c>
      <c r="S32" t="s">
        <v>20</v>
      </c>
      <c r="T32" t="s">
        <v>10</v>
      </c>
      <c r="U32">
        <v>0.39947500000000002</v>
      </c>
      <c r="V32">
        <f>POWER(U32,2)</f>
        <v>0.15958027562500002</v>
      </c>
      <c r="W32" s="2"/>
    </row>
    <row r="33" spans="18:23" x14ac:dyDescent="0.3">
      <c r="R33">
        <v>7</v>
      </c>
      <c r="S33" t="s">
        <v>20</v>
      </c>
      <c r="T33" t="s">
        <v>13</v>
      </c>
      <c r="U33">
        <v>0.267291</v>
      </c>
      <c r="V33">
        <f>POWER(U33,2)</f>
        <v>7.1444478680999998E-2</v>
      </c>
      <c r="W33" s="2"/>
    </row>
  </sheetData>
  <mergeCells count="2">
    <mergeCell ref="J1:M5"/>
    <mergeCell ref="H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współczynniki_metan</vt:lpstr>
      <vt:lpstr>współczynniki_eten</vt:lpstr>
      <vt:lpstr>porównanie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Maksymilian Dutkiewicz</dc:creator>
  <cp:lastModifiedBy>Maksymilian Dutkiewicz</cp:lastModifiedBy>
  <dcterms:created xsi:type="dcterms:W3CDTF">2026-01-10T19:02:56Z</dcterms:created>
  <dcterms:modified xsi:type="dcterms:W3CDTF">2026-01-10T23:49:48Z</dcterms:modified>
</cp:coreProperties>
</file>